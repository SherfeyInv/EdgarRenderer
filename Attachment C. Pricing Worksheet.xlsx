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pfiles\procurement$\WCF Branch\Employee Folders\Terry Lawrence\FY24\1- In Progress - WCF O&amp;M Security Equipment Services\2_Solicitation\7_Solicitation\"/>
    </mc:Choice>
  </mc:AlternateContent>
  <xr:revisionPtr revIDLastSave="0" documentId="13_ncr:1_{F494F3F1-FC86-402D-ACD3-B731D5C48230}" xr6:coauthVersionLast="47" xr6:coauthVersionMax="47" xr10:uidLastSave="{00000000-0000-0000-0000-000000000000}"/>
  <bookViews>
    <workbookView xWindow="-110" yWindow="-110" windowWidth="19420" windowHeight="10420" activeTab="1" xr2:uid="{9531B6ED-972D-48A4-A5C2-B5566F9985BB}"/>
  </bookViews>
  <sheets>
    <sheet name="Summary" sheetId="1" r:id="rId1"/>
    <sheet name="Base Year" sheetId="2" r:id="rId2"/>
    <sheet name="Option Year 1" sheetId="3" r:id="rId3"/>
    <sheet name="Option Year 2" sheetId="4" r:id="rId4"/>
    <sheet name="Option Year 3" sheetId="5" r:id="rId5"/>
    <sheet name="Option Year 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2" i="6"/>
  <c r="G3" i="5"/>
  <c r="G4" i="5"/>
  <c r="G2" i="5"/>
  <c r="G3" i="4"/>
  <c r="G4" i="4"/>
  <c r="G2" i="4"/>
  <c r="G3" i="3"/>
  <c r="G4" i="3"/>
  <c r="G2" i="3"/>
  <c r="G4" i="2"/>
  <c r="G2" i="2"/>
  <c r="B7" i="1"/>
</calcChain>
</file>

<file path=xl/sharedStrings.xml><?xml version="1.0" encoding="utf-8"?>
<sst xmlns="http://schemas.openxmlformats.org/spreadsheetml/2006/main" count="91" uniqueCount="40">
  <si>
    <t>Base Year</t>
  </si>
  <si>
    <t>Option Year 1</t>
  </si>
  <si>
    <t>Option Year 2</t>
  </si>
  <si>
    <t>Option Year 3</t>
  </si>
  <si>
    <t>Option Year 4</t>
  </si>
  <si>
    <t>TOTAL</t>
  </si>
  <si>
    <t>PRICING SUMMARY</t>
  </si>
  <si>
    <t>CLIN</t>
  </si>
  <si>
    <t>0002</t>
  </si>
  <si>
    <t>0001</t>
  </si>
  <si>
    <t>0003</t>
  </si>
  <si>
    <t>Description</t>
  </si>
  <si>
    <t>Period of Performance</t>
  </si>
  <si>
    <t>Quantity</t>
  </si>
  <si>
    <t>Unit</t>
  </si>
  <si>
    <t>Total</t>
  </si>
  <si>
    <t>Unit Price</t>
  </si>
  <si>
    <t>Month</t>
  </si>
  <si>
    <t>Dollars</t>
  </si>
  <si>
    <t>05/01/2024 - 04/30/2025</t>
  </si>
  <si>
    <t>05/01/2025 - 04/30/2026</t>
  </si>
  <si>
    <t>05/01/2026 - 04/30/2027</t>
  </si>
  <si>
    <t>05/01/2027 - 04/30/2028</t>
  </si>
  <si>
    <t>05/01/2028 - 04/30/2029</t>
  </si>
  <si>
    <t>Operations &amp; Maintenance Support, Base Year</t>
  </si>
  <si>
    <t>Materials &amp; Supplies, Base Year</t>
  </si>
  <si>
    <t>Emergency Support Services, Base Year</t>
  </si>
  <si>
    <t>Option Year (OY) 1 Operations &amp; Maintenance Support</t>
  </si>
  <si>
    <t>OY1 Materials &amp; Supplies</t>
  </si>
  <si>
    <t>OY1 Emergency Support Services</t>
  </si>
  <si>
    <t>OY2 Operations &amp; Maintenance Support</t>
  </si>
  <si>
    <t>OY2 Materials &amp; Supplies</t>
  </si>
  <si>
    <t>OY2 Emergency Support Services</t>
  </si>
  <si>
    <t>OY3 Operations &amp; Maintenance Support</t>
  </si>
  <si>
    <t>OY3 Materials &amp; Supplies</t>
  </si>
  <si>
    <t>OY3 Emergency Support Services</t>
  </si>
  <si>
    <t>OY4 Operations &amp; Maintenance Support</t>
  </si>
  <si>
    <t>OY4 Materials &amp; Supplies</t>
  </si>
  <si>
    <t>OY4 Emergency Support Services</t>
  </si>
  <si>
    <t>Use 3% annual estimated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</si>
</sst>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44" fontId="3" fillId="0" borderId="1" xfId="0" applyNumberFormat="1" applyFont="1" applyBorder="1"/>
    <xf numFmtId="44" fontId="2" fillId="0" borderId="1" xfId="0" applyNumberFormat="1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4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C747-3BB1-4932-874E-2E82EB4A7B15}">
  <dimension ref="A1:B7"/>
  <sheetViews>
    <sheetView workbookViewId="0">
      <selection activeCell="B2" sqref="B2"/>
    </sheetView>
  </sheetViews>
  <sheetFormatPr defaultRowHeight="14.5" x14ac:dyDescent="0.35"/>
  <cols>
    <col min="1" max="1" width="20.54296875" customWidth="1"/>
    <col min="2" max="2" width="18.453125" customWidth="1"/>
  </cols>
  <sheetData>
    <row r="1" spans="1:2" ht="26" x14ac:dyDescent="0.6">
      <c r="A1" s="15" t="s">
        <v>6</v>
      </c>
      <c r="B1" s="16"/>
    </row>
    <row r="2" spans="1:2" ht="21" x14ac:dyDescent="0.5">
      <c r="A2" s="2" t="s">
        <v>0</v>
      </c>
      <c r="B2" s="4">
        <v>0</v>
      </c>
    </row>
    <row r="3" spans="1:2" ht="21" x14ac:dyDescent="0.5">
      <c r="A3" s="2" t="s">
        <v>1</v>
      </c>
      <c r="B3" s="4">
        <v>0</v>
      </c>
    </row>
    <row r="4" spans="1:2" ht="21" x14ac:dyDescent="0.5">
      <c r="A4" s="2" t="s">
        <v>2</v>
      </c>
      <c r="B4" s="4">
        <v>0</v>
      </c>
    </row>
    <row r="5" spans="1:2" ht="21" x14ac:dyDescent="0.5">
      <c r="A5" s="2" t="s">
        <v>3</v>
      </c>
      <c r="B5" s="4">
        <v>0</v>
      </c>
    </row>
    <row r="6" spans="1:2" ht="21" x14ac:dyDescent="0.5">
      <c r="A6" s="2" t="s">
        <v>4</v>
      </c>
      <c r="B6" s="4">
        <v>0</v>
      </c>
    </row>
    <row r="7" spans="1:2" ht="21" x14ac:dyDescent="0.5">
      <c r="A7" s="3" t="s">
        <v>5</v>
      </c>
      <c r="B7" s="5">
        <f>SUM(B2:B6)</f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06C5-E628-41F0-AE41-90DEB6D56DBD}">
  <dimension ref="A1:H4"/>
  <sheetViews>
    <sheetView tabSelected="1" topLeftCell="B1" workbookViewId="0">
      <selection activeCell="G4" sqref="G4"/>
    </sheetView>
  </sheetViews>
  <sheetFormatPr defaultRowHeight="21" x14ac:dyDescent="0.5"/>
  <cols>
    <col min="1" max="1" width="8.7265625" style="6"/>
    <col min="2" max="2" width="29.81640625" style="6" customWidth="1"/>
    <col min="3" max="3" width="30.6328125" style="6" customWidth="1"/>
    <col min="4" max="4" width="12.08984375" style="6" customWidth="1"/>
    <col min="5" max="5" width="9.81640625" style="6" customWidth="1"/>
    <col min="6" max="6" width="16.26953125" style="6" customWidth="1"/>
    <col min="7" max="7" width="19.36328125" style="6" customWidth="1"/>
    <col min="8" max="8" width="10.6328125" style="6" customWidth="1"/>
    <col min="9" max="16384" width="8.7265625" style="6"/>
  </cols>
  <sheetData>
    <row r="1" spans="1:8" x14ac:dyDescent="0.5">
      <c r="A1" s="7" t="s">
        <v>7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16</v>
      </c>
      <c r="G1" s="7" t="s">
        <v>15</v>
      </c>
    </row>
    <row r="2" spans="1:8" ht="37.5" x14ac:dyDescent="0.5">
      <c r="A2" s="8" t="s">
        <v>9</v>
      </c>
      <c r="B2" s="9" t="s">
        <v>24</v>
      </c>
      <c r="C2" s="11" t="s">
        <v>19</v>
      </c>
      <c r="D2" s="1">
        <v>12</v>
      </c>
      <c r="E2" s="11" t="s">
        <v>17</v>
      </c>
      <c r="F2" s="10">
        <v>0</v>
      </c>
      <c r="G2" s="10">
        <f>D2*F2</f>
        <v>0</v>
      </c>
    </row>
    <row r="3" spans="1:8" ht="50" x14ac:dyDescent="0.5">
      <c r="A3" s="8" t="s">
        <v>8</v>
      </c>
      <c r="B3" s="9" t="s">
        <v>25</v>
      </c>
      <c r="C3" s="11" t="s">
        <v>19</v>
      </c>
      <c r="D3" s="1">
        <v>1</v>
      </c>
      <c r="E3" s="11" t="s">
        <v>18</v>
      </c>
      <c r="F3" s="10">
        <v>374574.9</v>
      </c>
      <c r="G3" s="10">
        <v>374575</v>
      </c>
      <c r="H3" s="17" t="s">
        <v>39</v>
      </c>
    </row>
    <row r="4" spans="1:8" ht="37.5" x14ac:dyDescent="0.5">
      <c r="A4" s="8" t="s">
        <v>10</v>
      </c>
      <c r="B4" s="9" t="s">
        <v>26</v>
      </c>
      <c r="C4" s="11" t="s">
        <v>19</v>
      </c>
      <c r="D4" s="1">
        <v>1</v>
      </c>
      <c r="E4" s="11" t="s">
        <v>18</v>
      </c>
      <c r="F4" s="10">
        <v>50000</v>
      </c>
      <c r="G4" s="10">
        <f t="shared" ref="G3:G4" si="0">D4*F4</f>
        <v>50000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73B9-6D4D-412F-A65A-55FD8838962D}">
  <dimension ref="A1:G4"/>
  <sheetViews>
    <sheetView workbookViewId="0">
      <selection activeCell="E13" sqref="E13"/>
    </sheetView>
  </sheetViews>
  <sheetFormatPr defaultRowHeight="21" x14ac:dyDescent="0.5"/>
  <cols>
    <col min="1" max="1" width="8.7265625" style="6"/>
    <col min="2" max="2" width="30.08984375" style="6" customWidth="1"/>
    <col min="3" max="3" width="30.6328125" style="6" customWidth="1"/>
    <col min="4" max="4" width="12.08984375" style="6" customWidth="1"/>
    <col min="5" max="5" width="9.81640625" style="6" customWidth="1"/>
    <col min="6" max="6" width="16" style="6" customWidth="1"/>
    <col min="7" max="7" width="19.36328125" style="6" customWidth="1"/>
    <col min="8" max="16384" width="8.7265625" style="6"/>
  </cols>
  <sheetData>
    <row r="1" spans="1:7" x14ac:dyDescent="0.5">
      <c r="A1" s="7" t="s">
        <v>7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16</v>
      </c>
      <c r="G1" s="7" t="s">
        <v>15</v>
      </c>
    </row>
    <row r="2" spans="1:7" ht="56" x14ac:dyDescent="0.5">
      <c r="A2" s="8">
        <v>1001</v>
      </c>
      <c r="B2" s="9" t="s">
        <v>27</v>
      </c>
      <c r="C2" s="11" t="s">
        <v>20</v>
      </c>
      <c r="D2" s="1">
        <v>12</v>
      </c>
      <c r="E2" s="11" t="s">
        <v>17</v>
      </c>
      <c r="F2" s="10">
        <v>0</v>
      </c>
      <c r="G2" s="10">
        <f>D2*F2</f>
        <v>0</v>
      </c>
    </row>
    <row r="3" spans="1:7" x14ac:dyDescent="0.5">
      <c r="A3" s="8">
        <v>1002</v>
      </c>
      <c r="B3" s="9" t="s">
        <v>28</v>
      </c>
      <c r="C3" s="11" t="s">
        <v>20</v>
      </c>
      <c r="D3" s="1">
        <v>1</v>
      </c>
      <c r="E3" s="11" t="s">
        <v>18</v>
      </c>
      <c r="F3" s="10">
        <v>0</v>
      </c>
      <c r="G3" s="10">
        <f t="shared" ref="G3:G4" si="0">D3*F3</f>
        <v>0</v>
      </c>
    </row>
    <row r="4" spans="1:7" ht="37.5" x14ac:dyDescent="0.5">
      <c r="A4" s="8">
        <v>1003</v>
      </c>
      <c r="B4" s="9" t="s">
        <v>29</v>
      </c>
      <c r="C4" s="11" t="s">
        <v>20</v>
      </c>
      <c r="D4" s="1">
        <v>1</v>
      </c>
      <c r="E4" s="11" t="s">
        <v>18</v>
      </c>
      <c r="F4" s="10">
        <v>50000</v>
      </c>
      <c r="G4" s="10">
        <f t="shared" si="0"/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B83B-9DA3-4150-9F2A-E53F3D8D461D}">
  <dimension ref="A1:G4"/>
  <sheetViews>
    <sheetView workbookViewId="0">
      <selection activeCell="G4" sqref="G4"/>
    </sheetView>
  </sheetViews>
  <sheetFormatPr defaultRowHeight="21" x14ac:dyDescent="0.5"/>
  <cols>
    <col min="1" max="1" width="8.7265625" style="6"/>
    <col min="2" max="2" width="28.36328125" style="6" customWidth="1"/>
    <col min="3" max="3" width="30.6328125" style="6" customWidth="1"/>
    <col min="4" max="4" width="12.08984375" style="6" customWidth="1"/>
    <col min="5" max="5" width="9.81640625" style="6" customWidth="1"/>
    <col min="6" max="6" width="17.08984375" style="6" customWidth="1"/>
    <col min="7" max="7" width="19.36328125" style="6" customWidth="1"/>
    <col min="8" max="16384" width="8.7265625" style="6"/>
  </cols>
  <sheetData>
    <row r="1" spans="1:7" x14ac:dyDescent="0.5">
      <c r="A1" s="7" t="s">
        <v>7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16</v>
      </c>
      <c r="G1" s="7" t="s">
        <v>15</v>
      </c>
    </row>
    <row r="2" spans="1:7" ht="37.5" x14ac:dyDescent="0.5">
      <c r="A2" s="8">
        <v>2001</v>
      </c>
      <c r="B2" s="9" t="s">
        <v>30</v>
      </c>
      <c r="C2" s="11" t="s">
        <v>21</v>
      </c>
      <c r="D2" s="1">
        <v>12</v>
      </c>
      <c r="E2" s="11" t="s">
        <v>17</v>
      </c>
      <c r="F2" s="10">
        <v>0</v>
      </c>
      <c r="G2" s="10">
        <f>D2*F2</f>
        <v>0</v>
      </c>
    </row>
    <row r="3" spans="1:7" x14ac:dyDescent="0.5">
      <c r="A3" s="8">
        <v>2002</v>
      </c>
      <c r="B3" s="9" t="s">
        <v>31</v>
      </c>
      <c r="C3" s="11" t="s">
        <v>21</v>
      </c>
      <c r="D3" s="1">
        <v>1</v>
      </c>
      <c r="E3" s="11" t="s">
        <v>18</v>
      </c>
      <c r="F3" s="10">
        <v>0</v>
      </c>
      <c r="G3" s="10">
        <f t="shared" ref="G3:G4" si="0">D3*F3</f>
        <v>0</v>
      </c>
    </row>
    <row r="4" spans="1:7" ht="37.5" x14ac:dyDescent="0.5">
      <c r="A4" s="8">
        <v>2003</v>
      </c>
      <c r="B4" s="9" t="s">
        <v>32</v>
      </c>
      <c r="C4" s="11" t="s">
        <v>21</v>
      </c>
      <c r="D4" s="1">
        <v>1</v>
      </c>
      <c r="E4" s="11" t="s">
        <v>18</v>
      </c>
      <c r="F4" s="10">
        <v>50000</v>
      </c>
      <c r="G4" s="10">
        <f t="shared" si="0"/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FD2E-AA01-4FD9-8CA9-B281A15F8EA7}">
  <dimension ref="A1:G4"/>
  <sheetViews>
    <sheetView workbookViewId="0">
      <selection activeCell="G4" sqref="G4"/>
    </sheetView>
  </sheetViews>
  <sheetFormatPr defaultRowHeight="21" x14ac:dyDescent="0.5"/>
  <cols>
    <col min="1" max="1" width="8.7265625" style="6"/>
    <col min="2" max="2" width="28.1796875" style="6" customWidth="1"/>
    <col min="3" max="3" width="30.6328125" style="6" customWidth="1"/>
    <col min="4" max="4" width="12.08984375" style="6" customWidth="1"/>
    <col min="5" max="5" width="9.81640625" style="6" customWidth="1"/>
    <col min="6" max="6" width="17.08984375" style="6" customWidth="1"/>
    <col min="7" max="7" width="19.36328125" style="6" customWidth="1"/>
    <col min="8" max="16384" width="8.7265625" style="6"/>
  </cols>
  <sheetData>
    <row r="1" spans="1:7" x14ac:dyDescent="0.5">
      <c r="A1" s="7" t="s">
        <v>7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16</v>
      </c>
      <c r="G1" s="7" t="s">
        <v>15</v>
      </c>
    </row>
    <row r="2" spans="1:7" ht="37.5" x14ac:dyDescent="0.5">
      <c r="A2" s="8">
        <v>3001</v>
      </c>
      <c r="B2" s="9" t="s">
        <v>33</v>
      </c>
      <c r="C2" s="11" t="s">
        <v>22</v>
      </c>
      <c r="D2" s="1">
        <v>12</v>
      </c>
      <c r="E2" s="11" t="s">
        <v>17</v>
      </c>
      <c r="F2" s="10">
        <v>0</v>
      </c>
      <c r="G2" s="10">
        <f>D2*F2</f>
        <v>0</v>
      </c>
    </row>
    <row r="3" spans="1:7" x14ac:dyDescent="0.5">
      <c r="A3" s="8">
        <v>3002</v>
      </c>
      <c r="B3" s="9" t="s">
        <v>34</v>
      </c>
      <c r="C3" s="11" t="s">
        <v>22</v>
      </c>
      <c r="D3" s="1">
        <v>1</v>
      </c>
      <c r="E3" s="11" t="s">
        <v>18</v>
      </c>
      <c r="F3" s="10">
        <v>0</v>
      </c>
      <c r="G3" s="10">
        <f t="shared" ref="G3:G4" si="0">D3*F3</f>
        <v>0</v>
      </c>
    </row>
    <row r="4" spans="1:7" ht="37.5" x14ac:dyDescent="0.5">
      <c r="A4" s="8">
        <v>3003</v>
      </c>
      <c r="B4" s="9" t="s">
        <v>35</v>
      </c>
      <c r="C4" s="11" t="s">
        <v>22</v>
      </c>
      <c r="D4" s="1">
        <v>1</v>
      </c>
      <c r="E4" s="11" t="s">
        <v>18</v>
      </c>
      <c r="F4" s="10">
        <v>50000</v>
      </c>
      <c r="G4" s="10">
        <f t="shared" si="0"/>
        <v>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69CF-3FE6-4FA0-9252-573BC1DEF3F1}">
  <dimension ref="A1:G4"/>
  <sheetViews>
    <sheetView workbookViewId="0">
      <selection activeCell="G4" sqref="G4"/>
    </sheetView>
  </sheetViews>
  <sheetFormatPr defaultRowHeight="21" x14ac:dyDescent="0.5"/>
  <cols>
    <col min="1" max="1" width="8.7265625" style="6"/>
    <col min="2" max="2" width="28" style="6" customWidth="1"/>
    <col min="3" max="3" width="30.6328125" style="6" customWidth="1"/>
    <col min="4" max="4" width="12.08984375" style="6" customWidth="1"/>
    <col min="5" max="5" width="9.81640625" style="6" customWidth="1"/>
    <col min="6" max="6" width="17.08984375" style="6" customWidth="1"/>
    <col min="7" max="7" width="19.36328125" style="6" customWidth="1"/>
    <col min="8" max="16384" width="8.7265625" style="6"/>
  </cols>
  <sheetData>
    <row r="1" spans="1:7" x14ac:dyDescent="0.5">
      <c r="A1" s="12" t="s">
        <v>7</v>
      </c>
      <c r="B1" s="13" t="s">
        <v>11</v>
      </c>
      <c r="C1" s="13" t="s">
        <v>12</v>
      </c>
      <c r="D1" s="13" t="s">
        <v>13</v>
      </c>
      <c r="E1" s="13" t="s">
        <v>14</v>
      </c>
      <c r="F1" s="13" t="s">
        <v>16</v>
      </c>
      <c r="G1" s="14" t="s">
        <v>15</v>
      </c>
    </row>
    <row r="2" spans="1:7" ht="37.5" x14ac:dyDescent="0.5">
      <c r="A2" s="8">
        <v>4001</v>
      </c>
      <c r="B2" s="9" t="s">
        <v>36</v>
      </c>
      <c r="C2" s="11" t="s">
        <v>23</v>
      </c>
      <c r="D2" s="1">
        <v>12</v>
      </c>
      <c r="E2" s="11" t="s">
        <v>17</v>
      </c>
      <c r="F2" s="10">
        <v>0</v>
      </c>
      <c r="G2" s="10">
        <f>D2*F2</f>
        <v>0</v>
      </c>
    </row>
    <row r="3" spans="1:7" x14ac:dyDescent="0.5">
      <c r="A3" s="8">
        <v>4002</v>
      </c>
      <c r="B3" s="9" t="s">
        <v>37</v>
      </c>
      <c r="C3" s="11" t="s">
        <v>23</v>
      </c>
      <c r="D3" s="1">
        <v>1</v>
      </c>
      <c r="E3" s="11" t="s">
        <v>18</v>
      </c>
      <c r="F3" s="10">
        <v>0</v>
      </c>
      <c r="G3" s="10">
        <f t="shared" ref="G3:G4" si="0">D3*F3</f>
        <v>0</v>
      </c>
    </row>
    <row r="4" spans="1:7" ht="37.5" x14ac:dyDescent="0.5">
      <c r="A4" s="8">
        <v>4003</v>
      </c>
      <c r="B4" s="9" t="s">
        <v>38</v>
      </c>
      <c r="C4" s="11" t="s">
        <v>23</v>
      </c>
      <c r="D4" s="1">
        <v>1</v>
      </c>
      <c r="E4" s="11" t="s">
        <v>18</v>
      </c>
      <c r="F4" s="10">
        <v>50000</v>
      </c>
      <c r="G4" s="10">
        <f t="shared" si="0"/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Base Year</vt:lpstr>
      <vt:lpstr>Option Year 1</vt:lpstr>
      <vt:lpstr>Option Year 2</vt:lpstr>
      <vt:lpstr>Option Year 3</vt:lpstr>
      <vt:lpstr>Option Year 4</vt:lpstr>
    </vt:vector>
  </TitlesOfParts>
  <Company>BEP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Lawrence, Terry</dc:creator>
  <cp:lastModifiedBy>Lawrence, Terry</cp:lastModifiedBy>
  <dcterms:created xsi:type="dcterms:W3CDTF">2024-01-23T22:23:42Z</dcterms:created>
  <dcterms:modified xsi:type="dcterms:W3CDTF">2024-02-21T22:46:16Z</dcterms:modified>
</cp:coreProperties>
</file>